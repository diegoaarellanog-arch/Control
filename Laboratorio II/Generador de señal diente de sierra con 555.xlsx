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ato2\Documents\Universidad\Control\Laboratorio II\"/>
    </mc:Choice>
  </mc:AlternateContent>
  <xr:revisionPtr revIDLastSave="0" documentId="8_{6E72B69A-9674-41B3-9394-731B54E79CC5}" xr6:coauthVersionLast="47" xr6:coauthVersionMax="47" xr10:uidLastSave="{00000000-0000-0000-0000-000000000000}"/>
  <bookViews>
    <workbookView xWindow="2685" yWindow="2685" windowWidth="21600" windowHeight="1183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F13" i="1"/>
  <c r="F12" i="1"/>
  <c r="H4" i="1"/>
  <c r="G4" i="1"/>
</calcChain>
</file>

<file path=xl/sharedStrings.xml><?xml version="1.0" encoding="utf-8"?>
<sst xmlns="http://schemas.openxmlformats.org/spreadsheetml/2006/main" count="9" uniqueCount="9">
  <si>
    <t>R1 (K)</t>
  </si>
  <si>
    <t>Rp (K)</t>
  </si>
  <si>
    <t>C (nF)</t>
  </si>
  <si>
    <t>Vcc (V)</t>
  </si>
  <si>
    <t>F-min (KHz)</t>
  </si>
  <si>
    <t>F-max (KHz)</t>
  </si>
  <si>
    <t>G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</si>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</sst>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8"/>
  <sheetViews>
    <sheetView tabSelected="1" workbookViewId="0">
      <selection activeCell="N11" sqref="N11"/>
    </sheetView>
  </sheetViews>
  <sheetFormatPr defaultColWidth="11.42578125" defaultRowHeight="15" x14ac:dyDescent="0.25"/>
  <cols>
    <col min="2" max="2" width="9.7109375" customWidth="1"/>
    <col min="4" max="4" width="12" bestFit="1" customWidth="1"/>
    <col min="6" max="6" width="5.7109375" customWidth="1"/>
    <col min="7" max="7" width="13.42578125" customWidth="1"/>
    <col min="8" max="8" width="13.28515625" customWidth="1"/>
    <col min="9" max="9" width="12" bestFit="1" customWidth="1"/>
  </cols>
  <sheetData>
    <row r="2" spans="2:15" x14ac:dyDescent="0.25">
      <c r="M2" s="4"/>
      <c r="N2" s="4"/>
      <c r="O2" s="4"/>
    </row>
    <row r="3" spans="2:15" x14ac:dyDescent="0.25">
      <c r="B3" s="3" t="s">
        <v>0</v>
      </c>
      <c r="C3" s="3" t="s">
        <v>1</v>
      </c>
      <c r="D3" s="3" t="s">
        <v>2</v>
      </c>
      <c r="E3" s="3" t="s">
        <v>3</v>
      </c>
      <c r="F3" s="4"/>
      <c r="G3" s="3" t="s">
        <v>4</v>
      </c>
      <c r="H3" s="3" t="s">
        <v>5</v>
      </c>
      <c r="I3" s="4"/>
      <c r="J3" s="4"/>
      <c r="K3" s="4"/>
      <c r="M3" s="1"/>
      <c r="N3" s="1"/>
      <c r="O3" s="1"/>
    </row>
    <row r="4" spans="2:15" x14ac:dyDescent="0.25">
      <c r="B4" s="2">
        <v>2</v>
      </c>
      <c r="C4" s="2">
        <v>10</v>
      </c>
      <c r="D4" s="2">
        <v>10</v>
      </c>
      <c r="E4" s="2">
        <v>12</v>
      </c>
      <c r="F4" s="1"/>
      <c r="G4" s="2">
        <f>(1.8/((((B4+C4)*1000)*(D4/1000000000))*(((2/3)*E4)-0.35)))/1000</f>
        <v>1.9607843137254901</v>
      </c>
      <c r="H4" s="5">
        <f>(1.8/(((B4*1000)*(D4/1000000000))*(((2/3)*E4)-0.35)))/1000</f>
        <v>11.764705882352938</v>
      </c>
      <c r="I4" s="1"/>
      <c r="J4" s="1"/>
      <c r="K4" s="1"/>
      <c r="M4" s="1"/>
      <c r="N4" s="1"/>
      <c r="O4" s="1"/>
    </row>
    <row r="5" spans="2:15" x14ac:dyDescent="0.25">
      <c r="B5" s="1"/>
      <c r="C5" s="1"/>
      <c r="D5" s="1"/>
      <c r="E5" s="1"/>
      <c r="F5" s="1"/>
      <c r="G5" s="1"/>
      <c r="I5" s="1"/>
      <c r="J5" s="1"/>
      <c r="K5" s="1"/>
      <c r="M5" s="1"/>
      <c r="N5" s="1"/>
      <c r="O5" s="1"/>
    </row>
    <row r="6" spans="2:15" x14ac:dyDescent="0.25">
      <c r="B6" s="1"/>
      <c r="C6" s="1"/>
      <c r="D6" s="1"/>
      <c r="E6" s="1"/>
      <c r="F6" s="1"/>
      <c r="G6" s="1"/>
      <c r="I6" s="4"/>
      <c r="J6" s="4"/>
      <c r="K6" s="4"/>
      <c r="M6" s="1"/>
      <c r="N6" s="1"/>
      <c r="O6" s="1"/>
    </row>
    <row r="7" spans="2:15" x14ac:dyDescent="0.25">
      <c r="B7" s="1"/>
      <c r="C7" s="1"/>
      <c r="D7" s="1"/>
      <c r="E7" s="1"/>
      <c r="F7" s="1"/>
      <c r="G7" s="1"/>
      <c r="I7" s="1"/>
      <c r="J7" s="1"/>
      <c r="K7" s="1"/>
      <c r="M7" s="1"/>
      <c r="N7" s="1"/>
      <c r="O7" s="1"/>
    </row>
    <row r="8" spans="2:15" x14ac:dyDescent="0.25">
      <c r="B8" s="1"/>
      <c r="C8" s="1"/>
      <c r="D8" s="1"/>
      <c r="E8" s="1"/>
      <c r="F8" s="1"/>
      <c r="G8" s="1"/>
      <c r="I8" s="1"/>
      <c r="J8" s="1"/>
      <c r="K8" s="1"/>
      <c r="M8" s="1"/>
      <c r="N8" s="1"/>
    </row>
    <row r="9" spans="2:15" x14ac:dyDescent="0.25">
      <c r="B9" s="1"/>
      <c r="C9" s="1"/>
      <c r="D9" s="1"/>
      <c r="E9" s="1"/>
      <c r="F9" s="1"/>
      <c r="G9" s="1"/>
      <c r="I9" s="4"/>
      <c r="J9" s="4"/>
      <c r="K9" s="4"/>
      <c r="M9" s="1"/>
      <c r="N9" s="1"/>
    </row>
    <row r="10" spans="2:15" x14ac:dyDescent="0.25">
      <c r="B10" s="1"/>
      <c r="C10" s="1"/>
      <c r="D10" s="1"/>
      <c r="E10" s="1"/>
      <c r="F10" s="1"/>
      <c r="G10" s="1"/>
      <c r="I10" s="1"/>
      <c r="J10" s="1"/>
      <c r="K10" s="1"/>
      <c r="M10" s="1"/>
      <c r="N10" s="1"/>
    </row>
    <row r="11" spans="2:15" x14ac:dyDescent="0.25">
      <c r="B11" s="1"/>
      <c r="C11" s="1"/>
      <c r="D11" s="1"/>
      <c r="E11" s="1"/>
      <c r="F11" s="1"/>
      <c r="G11" s="1"/>
      <c r="I11" s="1"/>
      <c r="J11" s="1"/>
      <c r="K11" s="1"/>
      <c r="M11" s="1"/>
      <c r="N11" s="1"/>
    </row>
    <row r="12" spans="2:15" x14ac:dyDescent="0.25">
      <c r="B12" s="1"/>
      <c r="C12" s="1"/>
      <c r="D12" s="1"/>
      <c r="E12" s="1"/>
      <c r="F12" s="1">
        <f>E4-2.5</f>
        <v>9.5</v>
      </c>
      <c r="G12" s="1"/>
      <c r="I12" s="4"/>
      <c r="J12" s="4"/>
      <c r="K12" s="4"/>
      <c r="M12" s="1"/>
      <c r="N12" s="1"/>
    </row>
    <row r="13" spans="2:15" x14ac:dyDescent="0.25">
      <c r="B13" s="1"/>
      <c r="C13" s="1"/>
      <c r="D13" s="1"/>
      <c r="E13" s="1"/>
      <c r="F13" s="1">
        <f>F12/0.01</f>
        <v>950</v>
      </c>
      <c r="G13" s="1"/>
      <c r="H13" s="1"/>
      <c r="I13" s="1"/>
      <c r="J13" s="1"/>
      <c r="K13" s="1"/>
      <c r="M13" s="1"/>
      <c r="N13" s="1"/>
    </row>
    <row r="14" spans="2:15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5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5" x14ac:dyDescent="0.25">
      <c r="B16" s="1"/>
      <c r="C16" s="1"/>
      <c r="D16" s="1" t="s">
        <v>6</v>
      </c>
      <c r="E16" s="1">
        <f>(E17+E18)/E18</f>
        <v>1.25</v>
      </c>
      <c r="F16" s="1"/>
      <c r="G16" s="1"/>
      <c r="H16" s="1"/>
      <c r="I16" s="1"/>
      <c r="J16" s="1"/>
      <c r="K16" s="1"/>
    </row>
    <row r="17" spans="2:11" x14ac:dyDescent="0.25">
      <c r="B17" s="1"/>
      <c r="C17" s="1"/>
      <c r="D17" s="1" t="s">
        <v>7</v>
      </c>
      <c r="E17" s="1">
        <v>10000</v>
      </c>
      <c r="F17" s="1"/>
      <c r="G17" s="1"/>
      <c r="H17" s="1"/>
      <c r="I17" s="1"/>
      <c r="J17" s="1"/>
      <c r="K17" s="1"/>
    </row>
    <row r="18" spans="2:11" x14ac:dyDescent="0.25">
      <c r="B18" s="1"/>
      <c r="C18" s="1"/>
      <c r="D18" s="1" t="s">
        <v>8</v>
      </c>
      <c r="E18" s="1">
        <v>40000</v>
      </c>
      <c r="F18" s="1"/>
      <c r="G18" s="1"/>
      <c r="H18" s="1"/>
      <c r="I18" s="1"/>
      <c r="J18" s="1"/>
      <c r="K18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SOLANO JUAN MANUEL</dc:creator>
  <cp:lastModifiedBy>Alejandro Arellano</cp:lastModifiedBy>
  <cp:lastPrinted>2019-06-07T03:42:02Z</cp:lastPrinted>
  <dcterms:created xsi:type="dcterms:W3CDTF">2019-05-25T03:03:15Z</dcterms:created>
  <dcterms:modified xsi:type="dcterms:W3CDTF">2026-03-18T09:01:19Z</dcterms:modified>
</cp:coreProperties>
</file>